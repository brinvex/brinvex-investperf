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3D1A710C-6663-3D7B-7F91-EC182F24A4BC}"/>
  <workbookPr codeName="ThisWorkbook" defaultThemeVersion="166925"/>
  <mc:AlternateContent xmlns:mc="http://schemas.openxmlformats.org/markup-compatibility/2006">
    <mc:Choice Requires="x15">
      <x15ac:absPath xmlns:x15ac="http://schemas.microsoft.com/office/spreadsheetml/2010/11/ac" url="C:\prj\bx-fintracker\external-doc\"/>
    </mc:Choice>
  </mc:AlternateContent>
  <xr:revisionPtr revIDLastSave="0" documentId="8_{9616FCE6-AA26-40C9-BC69-D180A5DE01D3}" xr6:coauthVersionLast="47" xr6:coauthVersionMax="47" xr10:uidLastSave="{00000000-0000-0000-0000-000000000000}"/>
  <bookViews>
    <workbookView xWindow="29655" yWindow="2025" windowWidth="26820" windowHeight="14985" tabRatio="787" activeTab="3" xr2:uid="{00000000-000D-0000-FFFF-FFFF00000000}"/>
  </bookViews>
  <sheets>
    <sheet name="PLEASE READ" sheetId="15" r:id="rId1"/>
    <sheet name="22.A.9" sheetId="18" r:id="rId2"/>
    <sheet name="22.A.21" sheetId="19" r:id="rId3"/>
    <sheet name="22.A.23" sheetId="17" r:id="rId4"/>
    <sheet name="22.A.28" sheetId="20" r:id="rId5"/>
    <sheet name="22.A.29" sheetId="2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5" i="17" l="1"/>
  <c r="H18" i="17"/>
  <c r="H6" i="17"/>
  <c r="H7" i="17"/>
  <c r="H8" i="17"/>
  <c r="H9" i="17"/>
  <c r="H10" i="17"/>
  <c r="H11" i="17"/>
  <c r="H12" i="17"/>
  <c r="H13" i="17"/>
  <c r="H14" i="17"/>
  <c r="H15" i="17"/>
  <c r="H16" i="17"/>
  <c r="H17" i="17"/>
  <c r="H5" i="17"/>
  <c r="B6" i="18"/>
  <c r="B7" i="18" s="1"/>
  <c r="B25" i="20"/>
  <c r="B24" i="20"/>
  <c r="B26" i="20" s="1"/>
  <c r="B12" i="20"/>
  <c r="B11" i="20"/>
  <c r="B10" i="20"/>
  <c r="C35" i="19"/>
  <c r="C34" i="19"/>
  <c r="C33" i="19"/>
  <c r="C28" i="19"/>
  <c r="C11" i="19"/>
  <c r="B17" i="22"/>
  <c r="G12" i="22"/>
  <c r="G11" i="22"/>
  <c r="G10" i="22"/>
  <c r="E9" i="22"/>
  <c r="G8" i="22"/>
  <c r="E8" i="22"/>
  <c r="G7" i="22"/>
  <c r="E7" i="22"/>
  <c r="G5" i="22"/>
  <c r="E5" i="22"/>
  <c r="G4" i="22"/>
  <c r="E4" i="22"/>
  <c r="B19" i="22" l="1"/>
  <c r="B18" i="22"/>
  <c r="E32" i="20"/>
  <c r="E33" i="20"/>
  <c r="E31" i="20"/>
  <c r="E34" i="20" s="1"/>
  <c r="D34" i="20"/>
  <c r="C34" i="20"/>
  <c r="B34" i="20"/>
  <c r="D21" i="20"/>
  <c r="E18" i="20" s="1"/>
  <c r="D19" i="20"/>
  <c r="E19" i="20" s="1"/>
  <c r="G19" i="20" s="1"/>
  <c r="D20" i="20"/>
  <c r="E20" i="20" s="1"/>
  <c r="G20" i="20" s="1"/>
  <c r="D18" i="20"/>
  <c r="C21" i="20"/>
  <c r="B21" i="20"/>
  <c r="B7" i="20"/>
  <c r="C5" i="20" s="1"/>
  <c r="D22" i="19"/>
  <c r="E22" i="19" s="1"/>
  <c r="D21" i="19"/>
  <c r="E21" i="19" s="1"/>
  <c r="F21" i="19" s="1"/>
  <c r="D6" i="19"/>
  <c r="E6" i="19" s="1"/>
  <c r="F6" i="19" s="1"/>
  <c r="D5" i="19"/>
  <c r="E5" i="19" s="1"/>
  <c r="F5" i="19" s="1"/>
  <c r="E21" i="20" l="1"/>
  <c r="G18" i="20"/>
  <c r="B38" i="20"/>
  <c r="B37" i="20"/>
  <c r="B39" i="20" s="1"/>
  <c r="G21" i="20"/>
  <c r="C4" i="20"/>
  <c r="E4" i="20" s="1"/>
  <c r="C6" i="20"/>
  <c r="E6" i="20" s="1"/>
  <c r="E5" i="20"/>
  <c r="C7" i="20"/>
  <c r="F22" i="19"/>
  <c r="C29" i="19" s="1"/>
  <c r="C30" i="19" s="1"/>
  <c r="C37" i="19" s="1"/>
  <c r="F25" i="19"/>
  <c r="C19" i="17"/>
  <c r="B22" i="17" s="1"/>
  <c r="E7" i="20" l="1"/>
  <c r="F8" i="19"/>
  <c r="C12" i="19" s="1"/>
  <c r="C13" i="19" s="1"/>
  <c r="D18" i="17" l="1"/>
  <c r="D6" i="17"/>
  <c r="D7" i="17"/>
  <c r="D8" i="17"/>
  <c r="D9" i="17"/>
  <c r="D10" i="17"/>
  <c r="D11" i="17"/>
  <c r="D12" i="17"/>
  <c r="D13" i="17"/>
  <c r="D14" i="17"/>
  <c r="D15" i="17"/>
  <c r="D16" i="17"/>
  <c r="D17" i="17"/>
  <c r="D5" i="17"/>
  <c r="E12" i="17" l="1"/>
  <c r="E13" i="17"/>
  <c r="E5" i="17"/>
  <c r="E14" i="17"/>
  <c r="E7" i="17"/>
  <c r="E15" i="17"/>
  <c r="E17" i="17"/>
  <c r="E8" i="17"/>
  <c r="E16" i="17"/>
  <c r="E9" i="17"/>
  <c r="E10" i="17"/>
  <c r="E18" i="17"/>
  <c r="E11" i="17"/>
  <c r="E6" i="17"/>
  <c r="E19" i="17" l="1"/>
  <c r="B23" i="17" s="1"/>
  <c r="B24" i="17" s="1"/>
  <c r="B25"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Terris</author>
  </authors>
  <commentList>
    <comment ref="B3" authorId="0" shapeId="0" xr:uid="{6209AD1A-0894-4B4C-95BC-FCA794B08410}">
      <text>
        <r>
          <rPr>
            <sz val="9"/>
            <color indexed="81"/>
            <rFont val="Tahoma"/>
            <family val="2"/>
          </rPr>
          <t xml:space="preserve">Cash Flow (CF) or Terminal Value (TV)
</t>
        </r>
      </text>
    </comment>
  </commentList>
</comments>
</file>

<file path=xl/sharedStrings.xml><?xml version="1.0" encoding="utf-8"?>
<sst xmlns="http://schemas.openxmlformats.org/spreadsheetml/2006/main" count="166" uniqueCount="94">
  <si>
    <t>Contribution</t>
  </si>
  <si>
    <t>Dates</t>
  </si>
  <si>
    <t>Explanation</t>
  </si>
  <si>
    <t>Cash Flow</t>
  </si>
  <si>
    <t>Date</t>
  </si>
  <si>
    <t>Numerator</t>
  </si>
  <si>
    <t>Denominator</t>
  </si>
  <si>
    <t>Return</t>
  </si>
  <si>
    <t>Portfolio</t>
  </si>
  <si>
    <t>Cash Flows</t>
  </si>
  <si>
    <t>Terminal Value</t>
  </si>
  <si>
    <t>Weighted Return</t>
  </si>
  <si>
    <t>BMV</t>
  </si>
  <si>
    <t>Portfolio Weight</t>
  </si>
  <si>
    <t>Formula</t>
  </si>
  <si>
    <t>A</t>
  </si>
  <si>
    <t>B</t>
  </si>
  <si>
    <t>C</t>
  </si>
  <si>
    <t>Total</t>
  </si>
  <si>
    <t>BMV plus</t>
  </si>
  <si>
    <t>Wtd CFs (%)</t>
  </si>
  <si>
    <t>EMV</t>
  </si>
  <si>
    <t>CF</t>
  </si>
  <si>
    <t>Combined</t>
  </si>
  <si>
    <t>CF or TV</t>
  </si>
  <si>
    <t>Year</t>
  </si>
  <si>
    <t>=XIRR(C4:C6,A4:A6,0.1)</t>
  </si>
  <si>
    <t>=XIRR(E4:E9,A4:A9,0.1)</t>
  </si>
  <si>
    <t>=XIRR(G4:G12,A4:A12,0.1)</t>
  </si>
  <si>
    <t>=C11/C12</t>
  </si>
  <si>
    <t>The content in this spreadsheet is for informational purposes only. You should not construe any such information or other material as legal, tax, investment, financial, or other advice. You alone assume the sole responsibility of evaluating the merits and risks associated with the use of any information or other Content on the Site before making any decisions based on such information or other Content. You agree not to hold CFA Institute or its subsidiaries liable for any possible claim arising from any decision you make based on information or content made available to you through this spreadsheet.</t>
  </si>
  <si>
    <t>Terminal</t>
  </si>
  <si>
    <t>Value</t>
  </si>
  <si>
    <t>Day of CF/</t>
  </si>
  <si>
    <t>Valuation</t>
  </si>
  <si>
    <t>Weighted</t>
  </si>
  <si>
    <t>Totals</t>
  </si>
  <si>
    <t>Cumulative Return</t>
  </si>
  <si>
    <t>Annualized Return</t>
  </si>
  <si>
    <t>External Cash Flows</t>
  </si>
  <si>
    <t>&amp; Ending Valuation</t>
  </si>
  <si>
    <t>Portfolio Value as of 30 September 2020</t>
  </si>
  <si>
    <t>Non-annualized return</t>
  </si>
  <si>
    <t>Annualized return using XIRR</t>
  </si>
  <si>
    <t>Beginning Value (BV)</t>
  </si>
  <si>
    <t>Ending Value (EV)</t>
  </si>
  <si>
    <t>Cash Flow (CF)</t>
  </si>
  <si>
    <t>Weight</t>
  </si>
  <si>
    <t>Portfolio Return</t>
  </si>
  <si>
    <t>Beginning Assets Plus Weighted External Cash Flow method:</t>
  </si>
  <si>
    <t>Beginning Assets Weighting method:</t>
  </si>
  <si>
    <t>Wtd CFs ($)</t>
  </si>
  <si>
    <t>Weighted CFs</t>
  </si>
  <si>
    <t>SI-IRR Calc</t>
  </si>
  <si>
    <t>Portfolio 1</t>
  </si>
  <si>
    <t>Portfolio 2</t>
  </si>
  <si>
    <t>Portfolio 1 &amp; 2</t>
  </si>
  <si>
    <t>Portfolio 3</t>
  </si>
  <si>
    <t>Portfolio 1, 2 &amp; 3</t>
  </si>
  <si>
    <t>Aggregate Return method (using Modified Dietz method):</t>
  </si>
  <si>
    <r>
      <t>R</t>
    </r>
    <r>
      <rPr>
        <b/>
        <vertAlign val="subscript"/>
        <sz val="11"/>
        <color theme="1"/>
        <rFont val="Calibri"/>
        <family val="2"/>
        <scheme val="minor"/>
      </rPr>
      <t>BMV</t>
    </r>
  </si>
  <si>
    <r>
      <t>R</t>
    </r>
    <r>
      <rPr>
        <b/>
        <vertAlign val="subscript"/>
        <sz val="11"/>
        <color theme="1"/>
        <rFont val="Calibri"/>
        <family val="2"/>
        <scheme val="minor"/>
      </rPr>
      <t>BMV + CF</t>
    </r>
  </si>
  <si>
    <r>
      <t>R</t>
    </r>
    <r>
      <rPr>
        <b/>
        <vertAlign val="subscript"/>
        <sz val="11"/>
        <color theme="1"/>
        <rFont val="Calibri"/>
        <family val="2"/>
        <scheme val="minor"/>
      </rPr>
      <t>Aggregate</t>
    </r>
  </si>
  <si>
    <r>
      <t>R</t>
    </r>
    <r>
      <rPr>
        <b/>
        <vertAlign val="subscript"/>
        <sz val="11"/>
        <color theme="1"/>
        <rFont val="Calibri"/>
        <family val="2"/>
        <scheme val="minor"/>
      </rPr>
      <t>Modified Dietz (sub-period 1)</t>
    </r>
  </si>
  <si>
    <r>
      <t>R</t>
    </r>
    <r>
      <rPr>
        <b/>
        <vertAlign val="subscript"/>
        <sz val="11"/>
        <color theme="1"/>
        <rFont val="Calibri"/>
        <family val="2"/>
        <scheme val="minor"/>
      </rPr>
      <t>Modified Dietz (sub-period 2)</t>
    </r>
  </si>
  <si>
    <r>
      <t>R</t>
    </r>
    <r>
      <rPr>
        <b/>
        <vertAlign val="subscript"/>
        <sz val="11"/>
        <color theme="1"/>
        <rFont val="Calibri"/>
        <family val="2"/>
        <scheme val="minor"/>
      </rPr>
      <t>Modified Dietz (sub-period 1 &amp; 2 linked)</t>
    </r>
  </si>
  <si>
    <r>
      <t>R</t>
    </r>
    <r>
      <rPr>
        <b/>
        <vertAlign val="subscript"/>
        <sz val="11"/>
        <color theme="1"/>
        <rFont val="Calibri"/>
        <family val="2"/>
        <scheme val="minor"/>
      </rPr>
      <t>Modified Dietz</t>
    </r>
  </si>
  <si>
    <t>Modified Dietz method:</t>
  </si>
  <si>
    <t>Modified Dietz method with sub-period returns due to large cash flows:</t>
  </si>
  <si>
    <t>=(C7-C4-C5-C6)</t>
  </si>
  <si>
    <t>=C4+F8</t>
  </si>
  <si>
    <t>=(C23-C20-C21-C22)</t>
  </si>
  <si>
    <t>=C20+F21+F22</t>
  </si>
  <si>
    <t>=C28/C29</t>
  </si>
  <si>
    <t>=(C24-C23)</t>
  </si>
  <si>
    <t>=C23</t>
  </si>
  <si>
    <t>=C33/C34</t>
  </si>
  <si>
    <t>=(1+C30)*(1+C35)-1</t>
  </si>
  <si>
    <t>=B18-C19</t>
  </si>
  <si>
    <t>=E19</t>
  </si>
  <si>
    <t>=B22/B23</t>
  </si>
  <si>
    <t>=(1+B24)^(1/4)-1</t>
  </si>
  <si>
    <t>=(B4*D4)+(B5*D5)+(B6*D6)</t>
  </si>
  <si>
    <t>=(B4+B5+B6)</t>
  </si>
  <si>
    <t>=B10/B11</t>
  </si>
  <si>
    <t>=((B18+C18)*F18)+((B19+C19)*F19)+((B20+C20)*F20)</t>
  </si>
  <si>
    <t>=(B18+C18+B19+C19+B20+C20)</t>
  </si>
  <si>
    <t>=B24/B25</t>
  </si>
  <si>
    <t>=(C34-B34-D34)</t>
  </si>
  <si>
    <t>=(B34+E34)</t>
  </si>
  <si>
    <t>=B37/B38</t>
  </si>
  <si>
    <t>=XIRR(B3:B5,A3:A5,0.1)</t>
  </si>
  <si>
    <t>=(1+B6)^((A5-A3)/365)-1</t>
  </si>
  <si>
    <t>Value or Cash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</si>
</sst>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409]d\-mmm\-yyyy;@"/>
    <numFmt numFmtId="169" formatCode="0.0000%"/>
  </numFmts>
  <fonts count="6"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sz val="14"/>
      <color theme="1"/>
      <name val="Calibri"/>
      <family val="2"/>
      <scheme val="minor"/>
    </font>
    <font>
      <b/>
      <vertAlign val="subscript"/>
      <sz val="11"/>
      <color theme="1"/>
      <name val="Calibri"/>
      <family val="2"/>
      <scheme val="minor"/>
    </font>
  </fonts>
  <fills count="2">
    <fill>
      <patternFill patternType="none"/>
    </fill>
    <fill>
      <patternFill patternType="gray125"/>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3">
    <xf numFmtId="0" fontId="0" fillId="0" borderId="0" xfId="0"/>
    <xf numFmtId="10" fontId="0" fillId="0" borderId="0" xfId="3" applyNumberFormat="1" applyFont="1"/>
    <xf numFmtId="0" fontId="2" fillId="0" borderId="0" xfId="0" applyFont="1" applyAlignment="1">
      <alignment horizontal="center"/>
    </xf>
    <xf numFmtId="165" fontId="0" fillId="0" borderId="0" xfId="1" applyNumberFormat="1" applyFont="1"/>
    <xf numFmtId="166" fontId="0" fillId="0" borderId="0" xfId="0" applyNumberFormat="1"/>
    <xf numFmtId="14" fontId="0" fillId="0" borderId="0" xfId="0" applyNumberFormat="1"/>
    <xf numFmtId="43" fontId="0" fillId="0" borderId="0" xfId="0" applyNumberFormat="1"/>
    <xf numFmtId="165" fontId="0" fillId="0" borderId="0" xfId="0" applyNumberFormat="1"/>
    <xf numFmtId="0" fontId="2" fillId="0" borderId="0" xfId="0" applyFont="1"/>
    <xf numFmtId="165" fontId="0" fillId="0" borderId="0" xfId="0" quotePrefix="1" applyNumberFormat="1"/>
    <xf numFmtId="10" fontId="0" fillId="0" borderId="0" xfId="3" quotePrefix="1" applyNumberFormat="1" applyFont="1"/>
    <xf numFmtId="165" fontId="0" fillId="0" borderId="0" xfId="1" applyNumberFormat="1" applyFont="1" applyFill="1"/>
    <xf numFmtId="0" fontId="0" fillId="0" borderId="0" xfId="0" applyFill="1"/>
    <xf numFmtId="165" fontId="0" fillId="0" borderId="0" xfId="0" applyNumberFormat="1" applyFill="1"/>
    <xf numFmtId="0" fontId="0" fillId="0" borderId="0" xfId="0" applyAlignment="1">
      <alignment wrapText="1"/>
    </xf>
    <xf numFmtId="166" fontId="0" fillId="0" borderId="0" xfId="0" applyNumberFormat="1" applyFill="1"/>
    <xf numFmtId="43" fontId="0" fillId="0" borderId="0" xfId="1" applyFont="1" applyFill="1"/>
    <xf numFmtId="0" fontId="0" fillId="0" borderId="0" xfId="0" applyAlignment="1">
      <alignment vertical="center"/>
    </xf>
    <xf numFmtId="0" fontId="4" fillId="0" borderId="0" xfId="0" applyFont="1" applyAlignment="1">
      <alignment vertical="center" wrapText="1"/>
    </xf>
    <xf numFmtId="0" fontId="2" fillId="0" borderId="1" xfId="0" applyFont="1" applyBorder="1" applyAlignment="1">
      <alignment horizontal="center"/>
    </xf>
    <xf numFmtId="0" fontId="2" fillId="0" borderId="1" xfId="0" applyFont="1" applyBorder="1" applyAlignment="1">
      <alignment horizontal="center"/>
    </xf>
    <xf numFmtId="0" fontId="0" fillId="0" borderId="0" xfId="0" applyFill="1" applyAlignment="1">
      <alignment wrapText="1"/>
    </xf>
    <xf numFmtId="165" fontId="0" fillId="0" borderId="2" xfId="1" applyNumberFormat="1" applyFont="1" applyBorder="1"/>
    <xf numFmtId="0" fontId="0" fillId="0" borderId="2" xfId="0" applyBorder="1"/>
    <xf numFmtId="164" fontId="0" fillId="0" borderId="0" xfId="2" applyNumberFormat="1" applyFont="1"/>
    <xf numFmtId="164" fontId="0" fillId="0" borderId="1" xfId="2" applyNumberFormat="1" applyFont="1" applyBorder="1"/>
    <xf numFmtId="10" fontId="0" fillId="0" borderId="2" xfId="0" applyNumberFormat="1" applyBorder="1"/>
    <xf numFmtId="0" fontId="2" fillId="0" borderId="1" xfId="0" applyFont="1" applyBorder="1"/>
    <xf numFmtId="165" fontId="0" fillId="0" borderId="0" xfId="3" applyNumberFormat="1" applyFont="1"/>
    <xf numFmtId="0" fontId="0" fillId="0" borderId="1" xfId="0" applyBorder="1" applyAlignment="1">
      <alignment horizontal="center"/>
    </xf>
    <xf numFmtId="164" fontId="0" fillId="0" borderId="0" xfId="2" applyNumberFormat="1" applyFont="1" applyBorder="1"/>
    <xf numFmtId="0" fontId="2" fillId="0" borderId="3" xfId="0" applyFont="1" applyBorder="1"/>
    <xf numFmtId="169" fontId="0" fillId="0" borderId="0" xfId="3" applyNumberFormat="1" applyFont="1"/>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6</xdr:col>
      <xdr:colOff>123825</xdr:colOff>
      <xdr:row>20</xdr:row>
      <xdr:rowOff>0</xdr:rowOff>
    </xdr:from>
    <xdr:to>
      <xdr:col>6</xdr:col>
      <xdr:colOff>438150</xdr:colOff>
      <xdr:row>21</xdr:row>
      <xdr:rowOff>161925</xdr:rowOff>
    </xdr:to>
    <xdr:sp macro="" textlink="">
      <xdr:nvSpPr>
        <xdr:cNvPr id="2" name="Right Brace 1">
          <a:extLst>
            <a:ext uri="{FF2B5EF4-FFF2-40B4-BE49-F238E27FC236}">
              <a16:creationId xmlns:a16="http://schemas.microsoft.com/office/drawing/2014/main" id="{482E0668-09E0-41B4-A739-FF99C389004F}"/>
            </a:ext>
          </a:extLst>
        </xdr:cNvPr>
        <xdr:cNvSpPr/>
      </xdr:nvSpPr>
      <xdr:spPr>
        <a:xfrm>
          <a:off x="5867400" y="3848100"/>
          <a:ext cx="314325" cy="35242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533400</xdr:colOff>
      <xdr:row>20</xdr:row>
      <xdr:rowOff>0</xdr:rowOff>
    </xdr:from>
    <xdr:to>
      <xdr:col>9</xdr:col>
      <xdr:colOff>600075</xdr:colOff>
      <xdr:row>22</xdr:row>
      <xdr:rowOff>9525</xdr:rowOff>
    </xdr:to>
    <xdr:sp macro="" textlink="">
      <xdr:nvSpPr>
        <xdr:cNvPr id="3" name="Rectangle: Rounded Corners 2">
          <a:extLst>
            <a:ext uri="{FF2B5EF4-FFF2-40B4-BE49-F238E27FC236}">
              <a16:creationId xmlns:a16="http://schemas.microsoft.com/office/drawing/2014/main" id="{9A861254-FA74-42A3-B29F-2CCF984D7E2D}"/>
            </a:ext>
          </a:extLst>
        </xdr:cNvPr>
        <xdr:cNvSpPr/>
      </xdr:nvSpPr>
      <xdr:spPr>
        <a:xfrm>
          <a:off x="6276975" y="3848100"/>
          <a:ext cx="26193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Weighted cash flows for sub-period 1</a:t>
          </a:r>
        </a:p>
        <a:p>
          <a:pPr algn="l"/>
          <a:endParaRPr lang="en-US" sz="11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C6E1A-7DAA-4A7B-9238-B4478EA6FBA3}">
  <sheetPr codeName="Sheet1"/>
  <dimension ref="A1:A2"/>
  <sheetViews>
    <sheetView workbookViewId="0"/>
  </sheetViews>
  <sheetFormatPr defaultRowHeight="15" x14ac:dyDescent="0.25"/>
  <cols>
    <col min="1" max="1" width="122" customWidth="1"/>
  </cols>
  <sheetData>
    <row r="1" spans="1:1" ht="112.5" x14ac:dyDescent="0.25">
      <c r="A1" s="18" t="s">
        <v>30</v>
      </c>
    </row>
    <row r="2" spans="1:1" x14ac:dyDescent="0.25">
      <c r="A2" s="17"/>
    </row>
  </sheetData>
  <sheetProtection algorithmName="SHA-512" hashValue="9XZiAR3kxmmxZ3eQ94zyG/E5mxGksgSQB81K/6qBDvz0Z4mm6y8RjO/KFkaRoSFM2BfLyeekgmPO14/mD1bHEg==" saltValue="Iuk8OJCeDOUWnNyJ/7i/MA==" spinCount="100000" sheet="1" formatCells="0" formatColumns="0" formatRows="0" insertColumns="0" insertRows="0" insertHyperlink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42490-2D84-4B98-A499-B29FEF15A023}">
  <sheetPr codeName="Sheet2"/>
  <dimension ref="A1:D7"/>
  <sheetViews>
    <sheetView workbookViewId="0">
      <selection activeCell="D29" sqref="D29"/>
    </sheetView>
  </sheetViews>
  <sheetFormatPr defaultRowHeight="15" x14ac:dyDescent="0.25"/>
  <cols>
    <col min="1" max="1" width="11.7109375" bestFit="1" customWidth="1"/>
    <col min="2" max="2" width="18.7109375" bestFit="1" customWidth="1"/>
    <col min="3" max="3" width="22.7109375" bestFit="1" customWidth="1"/>
    <col min="4" max="4" width="37" bestFit="1" customWidth="1"/>
  </cols>
  <sheetData>
    <row r="1" spans="1:4" x14ac:dyDescent="0.25">
      <c r="A1" s="31"/>
      <c r="B1" s="31" t="s">
        <v>39</v>
      </c>
      <c r="C1" s="31"/>
      <c r="D1" s="31"/>
    </row>
    <row r="2" spans="1:4" x14ac:dyDescent="0.25">
      <c r="A2" s="27" t="s">
        <v>1</v>
      </c>
      <c r="B2" s="27" t="s">
        <v>40</v>
      </c>
      <c r="C2" s="27"/>
      <c r="D2" s="27" t="s">
        <v>2</v>
      </c>
    </row>
    <row r="3" spans="1:4" x14ac:dyDescent="0.25">
      <c r="A3" s="4">
        <v>44075</v>
      </c>
      <c r="B3" s="24">
        <v>-1000000</v>
      </c>
      <c r="C3" s="24"/>
      <c r="D3" t="s">
        <v>0</v>
      </c>
    </row>
    <row r="4" spans="1:4" x14ac:dyDescent="0.25">
      <c r="A4" s="4">
        <v>44084</v>
      </c>
      <c r="B4" s="24">
        <v>-75000</v>
      </c>
      <c r="C4" s="24"/>
      <c r="D4" t="s">
        <v>0</v>
      </c>
    </row>
    <row r="5" spans="1:4" x14ac:dyDescent="0.25">
      <c r="A5" s="4">
        <v>44104</v>
      </c>
      <c r="B5" s="25">
        <v>1100000</v>
      </c>
      <c r="C5" s="30"/>
      <c r="D5" t="s">
        <v>41</v>
      </c>
    </row>
    <row r="6" spans="1:4" x14ac:dyDescent="0.25">
      <c r="B6" s="10">
        <f>XIRR(B3:B5,A3:A5,0.1)</f>
        <v>0.34411035180091853</v>
      </c>
      <c r="C6" s="10" t="s">
        <v>91</v>
      </c>
      <c r="D6" t="s">
        <v>43</v>
      </c>
    </row>
    <row r="7" spans="1:4" x14ac:dyDescent="0.25">
      <c r="B7" s="10">
        <f>(1+B6)^((A5-A3)/365)-1</f>
        <v>2.377476107721721E-2</v>
      </c>
      <c r="C7" s="10" t="s">
        <v>92</v>
      </c>
      <c r="D7" t="s">
        <v>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EC1A8-E225-4AF0-91C1-937B8805378F}">
  <sheetPr codeName="Sheet3"/>
  <dimension ref="A1:R37"/>
  <sheetViews>
    <sheetView workbookViewId="0">
      <selection activeCell="C13" sqref="C13"/>
    </sheetView>
  </sheetViews>
  <sheetFormatPr defaultRowHeight="15" x14ac:dyDescent="0.25"/>
  <cols>
    <col min="1" max="1" width="17.85546875" bestFit="1" customWidth="1"/>
    <col min="2" max="2" width="20" bestFit="1" customWidth="1"/>
    <col min="3" max="3" width="12" customWidth="1"/>
    <col min="4" max="4" width="12.85546875" bestFit="1" customWidth="1"/>
    <col min="5" max="5" width="12.85546875" customWidth="1"/>
    <col min="6" max="6" width="10.5703125" bestFit="1" customWidth="1"/>
    <col min="7" max="7" width="16.85546875" bestFit="1" customWidth="1"/>
    <col min="9" max="9" width="12.28515625" customWidth="1"/>
    <col min="10" max="10" width="15.28515625" customWidth="1"/>
    <col min="11" max="11" width="16.5703125" customWidth="1"/>
    <col min="14" max="14" width="12" bestFit="1" customWidth="1"/>
    <col min="17" max="17" width="12" bestFit="1" customWidth="1"/>
  </cols>
  <sheetData>
    <row r="1" spans="1:18" x14ac:dyDescent="0.25">
      <c r="A1" s="8" t="s">
        <v>67</v>
      </c>
      <c r="C1" s="2"/>
    </row>
    <row r="2" spans="1:18" x14ac:dyDescent="0.25">
      <c r="A2" s="8"/>
      <c r="B2" s="8"/>
      <c r="C2" s="2"/>
      <c r="D2" s="2" t="s">
        <v>33</v>
      </c>
      <c r="E2" s="2"/>
      <c r="F2" s="2" t="s">
        <v>35</v>
      </c>
    </row>
    <row r="3" spans="1:18" x14ac:dyDescent="0.25">
      <c r="A3" s="20" t="s">
        <v>4</v>
      </c>
      <c r="B3" s="20" t="s">
        <v>93</v>
      </c>
      <c r="C3" s="20" t="s">
        <v>3</v>
      </c>
      <c r="D3" s="20" t="s">
        <v>34</v>
      </c>
      <c r="E3" s="20" t="s">
        <v>47</v>
      </c>
      <c r="F3" s="20" t="s">
        <v>22</v>
      </c>
      <c r="H3" s="12"/>
      <c r="I3" s="12"/>
      <c r="J3" s="12"/>
      <c r="K3" s="12"/>
      <c r="L3" s="12"/>
      <c r="M3" s="12"/>
      <c r="N3" s="14"/>
      <c r="O3" s="14"/>
      <c r="P3" s="14"/>
      <c r="Q3" s="14"/>
      <c r="R3" s="14"/>
    </row>
    <row r="4" spans="1:18" x14ac:dyDescent="0.25">
      <c r="A4" s="4">
        <v>43982</v>
      </c>
      <c r="B4" s="4" t="s">
        <v>44</v>
      </c>
      <c r="C4" s="7">
        <v>100000</v>
      </c>
      <c r="D4" s="7"/>
      <c r="E4" s="7"/>
      <c r="F4" s="11"/>
      <c r="H4" s="12"/>
      <c r="I4" s="12"/>
      <c r="J4" s="21"/>
      <c r="K4" s="21"/>
      <c r="L4" s="12"/>
      <c r="M4" s="12"/>
      <c r="N4" s="14"/>
      <c r="O4" s="14"/>
      <c r="P4" s="14"/>
      <c r="Q4" s="14"/>
      <c r="R4" s="14"/>
    </row>
    <row r="5" spans="1:18" x14ac:dyDescent="0.25">
      <c r="A5" s="4">
        <v>43988</v>
      </c>
      <c r="B5" s="4" t="s">
        <v>46</v>
      </c>
      <c r="C5" s="7">
        <v>-2000</v>
      </c>
      <c r="D5" s="7">
        <f>A5-$A$4</f>
        <v>6</v>
      </c>
      <c r="E5" s="6">
        <f>(30-D5)/30</f>
        <v>0.8</v>
      </c>
      <c r="F5" s="11">
        <f>C5*E5</f>
        <v>-1600</v>
      </c>
      <c r="H5" s="12"/>
      <c r="I5" s="12"/>
      <c r="J5" s="21"/>
      <c r="K5" s="21"/>
      <c r="L5" s="12"/>
      <c r="M5" s="12"/>
      <c r="N5" s="14"/>
      <c r="O5" s="14"/>
      <c r="P5" s="14"/>
      <c r="Q5" s="14"/>
      <c r="R5" s="14"/>
    </row>
    <row r="6" spans="1:18" x14ac:dyDescent="0.25">
      <c r="A6" s="4">
        <v>43993</v>
      </c>
      <c r="B6" s="4" t="s">
        <v>46</v>
      </c>
      <c r="C6" s="7">
        <v>20000</v>
      </c>
      <c r="D6" s="7">
        <f>A6-$A$4</f>
        <v>11</v>
      </c>
      <c r="E6" s="6">
        <f>(30-D6)/30</f>
        <v>0.6333333333333333</v>
      </c>
      <c r="F6" s="11">
        <f>C6*E6</f>
        <v>12666.666666666666</v>
      </c>
      <c r="H6" s="12"/>
      <c r="I6" s="12"/>
      <c r="J6" s="21"/>
      <c r="K6" s="21"/>
      <c r="L6" s="12"/>
      <c r="M6" s="12"/>
    </row>
    <row r="7" spans="1:18" x14ac:dyDescent="0.25">
      <c r="A7" s="15">
        <v>44012</v>
      </c>
      <c r="B7" s="4" t="s">
        <v>45</v>
      </c>
      <c r="C7" s="7">
        <v>135000</v>
      </c>
      <c r="D7" s="7"/>
      <c r="E7" s="7"/>
      <c r="F7" s="11"/>
      <c r="H7" s="12"/>
      <c r="I7" s="13"/>
      <c r="J7" s="16"/>
      <c r="K7" s="16"/>
      <c r="L7" s="12"/>
      <c r="M7" s="12"/>
      <c r="N7" s="5"/>
      <c r="Q7" s="5"/>
    </row>
    <row r="8" spans="1:18" x14ac:dyDescent="0.25">
      <c r="A8" t="s">
        <v>36</v>
      </c>
      <c r="F8" s="22">
        <f>SUM(F4:F7)</f>
        <v>11066.666666666666</v>
      </c>
      <c r="H8" s="12"/>
      <c r="I8" s="12"/>
      <c r="J8" s="12"/>
      <c r="K8" s="12"/>
      <c r="L8" s="12"/>
      <c r="M8" s="12"/>
      <c r="N8" s="5"/>
      <c r="Q8" s="5"/>
    </row>
    <row r="9" spans="1:18" x14ac:dyDescent="0.25">
      <c r="D9" s="1"/>
      <c r="E9" s="1"/>
      <c r="N9" s="5"/>
      <c r="Q9" s="5"/>
    </row>
    <row r="10" spans="1:18" ht="18" x14ac:dyDescent="0.35">
      <c r="A10" s="8" t="s">
        <v>66</v>
      </c>
      <c r="D10" s="3"/>
      <c r="E10" s="3"/>
      <c r="O10" s="1"/>
      <c r="R10" s="1"/>
    </row>
    <row r="11" spans="1:18" x14ac:dyDescent="0.25">
      <c r="A11" t="s">
        <v>5</v>
      </c>
      <c r="C11" s="9">
        <f>(C7-C4-C5-C6)</f>
        <v>17000</v>
      </c>
      <c r="D11" s="9" t="s">
        <v>69</v>
      </c>
    </row>
    <row r="12" spans="1:18" x14ac:dyDescent="0.25">
      <c r="A12" t="s">
        <v>6</v>
      </c>
      <c r="C12" s="9">
        <f>C4+F8</f>
        <v>111066.66666666667</v>
      </c>
      <c r="D12" s="9" t="s">
        <v>70</v>
      </c>
    </row>
    <row r="13" spans="1:18" x14ac:dyDescent="0.25">
      <c r="A13" t="s">
        <v>37</v>
      </c>
      <c r="C13" s="10">
        <f>C11/C12</f>
        <v>0.15306122448979592</v>
      </c>
      <c r="D13" s="10" t="s">
        <v>29</v>
      </c>
    </row>
    <row r="16" spans="1:18" x14ac:dyDescent="0.25">
      <c r="A16" s="8" t="s">
        <v>68</v>
      </c>
      <c r="D16" s="1"/>
      <c r="E16" s="1"/>
    </row>
    <row r="17" spans="1:18" x14ac:dyDescent="0.25">
      <c r="C17" s="2"/>
    </row>
    <row r="18" spans="1:18" x14ac:dyDescent="0.25">
      <c r="A18" s="8"/>
      <c r="B18" s="8"/>
      <c r="C18" s="2"/>
      <c r="D18" s="2" t="s">
        <v>33</v>
      </c>
      <c r="E18" s="2"/>
      <c r="F18" s="2" t="s">
        <v>35</v>
      </c>
    </row>
    <row r="19" spans="1:18" x14ac:dyDescent="0.25">
      <c r="A19" s="20" t="s">
        <v>4</v>
      </c>
      <c r="B19" s="20" t="s">
        <v>93</v>
      </c>
      <c r="C19" s="20" t="s">
        <v>3</v>
      </c>
      <c r="D19" s="20" t="s">
        <v>34</v>
      </c>
      <c r="E19" s="20" t="s">
        <v>47</v>
      </c>
      <c r="F19" s="20" t="s">
        <v>22</v>
      </c>
      <c r="H19" s="12"/>
      <c r="I19" s="12"/>
      <c r="J19" s="12"/>
      <c r="K19" s="12"/>
      <c r="L19" s="12"/>
      <c r="M19" s="12"/>
      <c r="N19" s="14"/>
      <c r="O19" s="14"/>
      <c r="P19" s="14"/>
      <c r="Q19" s="14"/>
      <c r="R19" s="14"/>
    </row>
    <row r="20" spans="1:18" x14ac:dyDescent="0.25">
      <c r="A20" s="4">
        <v>43982</v>
      </c>
      <c r="B20" s="4" t="s">
        <v>44</v>
      </c>
      <c r="C20" s="7">
        <v>100000</v>
      </c>
      <c r="D20" s="7"/>
      <c r="E20" s="7"/>
      <c r="F20" s="11"/>
      <c r="H20" s="12"/>
      <c r="I20" s="12"/>
      <c r="J20" s="21"/>
      <c r="K20" s="21"/>
      <c r="L20" s="12"/>
      <c r="M20" s="12"/>
      <c r="N20" s="14"/>
      <c r="O20" s="14"/>
      <c r="P20" s="14"/>
      <c r="Q20" s="14"/>
      <c r="R20" s="14"/>
    </row>
    <row r="21" spans="1:18" x14ac:dyDescent="0.25">
      <c r="A21" s="4">
        <v>43988</v>
      </c>
      <c r="B21" s="4" t="s">
        <v>46</v>
      </c>
      <c r="C21" s="7">
        <v>-2000</v>
      </c>
      <c r="D21" s="7">
        <f>A21-$A$4</f>
        <v>6</v>
      </c>
      <c r="E21" s="6">
        <f>(11-D21)/11</f>
        <v>0.45454545454545453</v>
      </c>
      <c r="F21" s="11">
        <f>C21*E21</f>
        <v>-909.09090909090901</v>
      </c>
      <c r="H21" s="12"/>
      <c r="I21" s="12"/>
      <c r="J21" s="21"/>
      <c r="K21" s="21"/>
      <c r="L21" s="12"/>
      <c r="M21" s="12"/>
      <c r="N21" s="14"/>
      <c r="O21" s="14"/>
      <c r="P21" s="14"/>
      <c r="Q21" s="14"/>
      <c r="R21" s="14"/>
    </row>
    <row r="22" spans="1:18" x14ac:dyDescent="0.25">
      <c r="A22" s="4">
        <v>43993</v>
      </c>
      <c r="B22" s="4" t="s">
        <v>46</v>
      </c>
      <c r="C22" s="7">
        <v>20000</v>
      </c>
      <c r="D22" s="7">
        <f>A22-$A$4</f>
        <v>11</v>
      </c>
      <c r="E22" s="6">
        <f>(11-D22)/11</f>
        <v>0</v>
      </c>
      <c r="F22" s="11">
        <f>C22*E22</f>
        <v>0</v>
      </c>
      <c r="H22" s="12"/>
      <c r="I22" s="12"/>
      <c r="J22" s="21"/>
      <c r="K22" s="21"/>
      <c r="L22" s="12"/>
      <c r="M22" s="12"/>
    </row>
    <row r="23" spans="1:18" x14ac:dyDescent="0.25">
      <c r="A23" s="4">
        <v>43993</v>
      </c>
      <c r="B23" s="4" t="s">
        <v>45</v>
      </c>
      <c r="C23" s="7">
        <v>125000</v>
      </c>
      <c r="D23" s="7"/>
      <c r="E23" s="6"/>
      <c r="F23" s="11"/>
      <c r="H23" s="12"/>
      <c r="I23" s="12"/>
      <c r="J23" s="21"/>
      <c r="K23" s="21"/>
      <c r="L23" s="12"/>
      <c r="M23" s="12"/>
    </row>
    <row r="24" spans="1:18" x14ac:dyDescent="0.25">
      <c r="A24" s="15">
        <v>44012</v>
      </c>
      <c r="B24" s="4" t="s">
        <v>45</v>
      </c>
      <c r="C24" s="7">
        <v>135000</v>
      </c>
      <c r="D24" s="7"/>
      <c r="E24" s="7"/>
      <c r="F24" s="11"/>
      <c r="H24" s="12"/>
      <c r="I24" s="13"/>
      <c r="J24" s="16"/>
      <c r="K24" s="16"/>
      <c r="L24" s="12"/>
      <c r="M24" s="12"/>
      <c r="N24" s="5"/>
      <c r="Q24" s="5"/>
    </row>
    <row r="25" spans="1:18" x14ac:dyDescent="0.25">
      <c r="A25" t="s">
        <v>36</v>
      </c>
      <c r="F25" s="22">
        <f>SUM(F20:F24)</f>
        <v>-909.09090909090901</v>
      </c>
      <c r="H25" s="12"/>
      <c r="I25" s="12"/>
      <c r="J25" s="12"/>
      <c r="K25" s="12"/>
      <c r="L25" s="12"/>
      <c r="M25" s="12"/>
      <c r="N25" s="5"/>
      <c r="Q25" s="5"/>
    </row>
    <row r="26" spans="1:18" x14ac:dyDescent="0.25">
      <c r="D26" s="1"/>
      <c r="E26" s="1"/>
      <c r="N26" s="5"/>
      <c r="Q26" s="5"/>
    </row>
    <row r="27" spans="1:18" ht="18" x14ac:dyDescent="0.35">
      <c r="A27" s="8" t="s">
        <v>63</v>
      </c>
      <c r="D27" s="3"/>
      <c r="E27" s="3"/>
      <c r="O27" s="1"/>
      <c r="R27" s="1"/>
    </row>
    <row r="28" spans="1:18" x14ac:dyDescent="0.25">
      <c r="A28" t="s">
        <v>5</v>
      </c>
      <c r="C28" s="9">
        <f>(C23-C20-C21-C22)</f>
        <v>7000</v>
      </c>
      <c r="D28" s="9" t="s">
        <v>71</v>
      </c>
    </row>
    <row r="29" spans="1:18" x14ac:dyDescent="0.25">
      <c r="A29" t="s">
        <v>6</v>
      </c>
      <c r="C29" s="9">
        <f>C20+F21+F22</f>
        <v>99090.909090909088</v>
      </c>
      <c r="D29" s="9" t="s">
        <v>72</v>
      </c>
    </row>
    <row r="30" spans="1:18" x14ac:dyDescent="0.25">
      <c r="A30" t="s">
        <v>37</v>
      </c>
      <c r="C30" s="10">
        <f>C28/C29</f>
        <v>7.0642201834862389E-2</v>
      </c>
      <c r="D30" s="10" t="s">
        <v>73</v>
      </c>
    </row>
    <row r="32" spans="1:18" ht="18" x14ac:dyDescent="0.35">
      <c r="A32" s="8" t="s">
        <v>64</v>
      </c>
    </row>
    <row r="33" spans="1:4" x14ac:dyDescent="0.25">
      <c r="A33" t="s">
        <v>5</v>
      </c>
      <c r="C33" s="9">
        <f>(C24-C23)</f>
        <v>10000</v>
      </c>
      <c r="D33" s="9" t="s">
        <v>74</v>
      </c>
    </row>
    <row r="34" spans="1:4" x14ac:dyDescent="0.25">
      <c r="A34" t="s">
        <v>6</v>
      </c>
      <c r="C34" s="9">
        <f>C23</f>
        <v>125000</v>
      </c>
      <c r="D34" s="9" t="s">
        <v>75</v>
      </c>
    </row>
    <row r="35" spans="1:4" x14ac:dyDescent="0.25">
      <c r="A35" t="s">
        <v>37</v>
      </c>
      <c r="C35" s="10">
        <f>C33/C34</f>
        <v>0.08</v>
      </c>
      <c r="D35" s="10" t="s">
        <v>76</v>
      </c>
    </row>
    <row r="37" spans="1:4" ht="18" x14ac:dyDescent="0.35">
      <c r="A37" s="8" t="s">
        <v>65</v>
      </c>
      <c r="C37" s="10">
        <f>(1+C30)*(1+C35)-1</f>
        <v>0.15629357798165144</v>
      </c>
      <c r="D37" s="10" t="s">
        <v>77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95EA3-3B45-4869-B893-E25B5C674144}">
  <sheetPr codeName="Sheet4"/>
  <dimension ref="A1:N28"/>
  <sheetViews>
    <sheetView tabSelected="1" workbookViewId="0">
      <selection activeCell="B14" sqref="B14"/>
    </sheetView>
  </sheetViews>
  <sheetFormatPr defaultRowHeight="15" x14ac:dyDescent="0.25"/>
  <cols>
    <col min="1" max="1" width="17.85546875" bestFit="1" customWidth="1"/>
    <col min="2" max="2" width="12" customWidth="1"/>
    <col min="3" max="3" width="12.85546875" bestFit="1" customWidth="1"/>
    <col min="4" max="4" width="10.5703125" bestFit="1" customWidth="1"/>
    <col min="5" max="5" width="16.85546875" bestFit="1" customWidth="1"/>
    <col min="6" max="6" width="12.28515625" customWidth="1"/>
    <col min="7" max="7" width="16.5703125" customWidth="1"/>
    <col min="8" max="8" width="11.28515625" bestFit="1" customWidth="1"/>
    <col min="10" max="10" width="12" bestFit="1" customWidth="1"/>
    <col min="13" max="13" width="12" bestFit="1" customWidth="1"/>
  </cols>
  <sheetData>
    <row r="1" spans="1:14" x14ac:dyDescent="0.25">
      <c r="A1" s="8" t="s">
        <v>67</v>
      </c>
    </row>
    <row r="2" spans="1:14" x14ac:dyDescent="0.25">
      <c r="C2" s="2"/>
    </row>
    <row r="3" spans="1:14" x14ac:dyDescent="0.25">
      <c r="A3" s="8"/>
      <c r="B3" s="2" t="s">
        <v>31</v>
      </c>
      <c r="C3" s="2"/>
      <c r="D3" s="2" t="s">
        <v>33</v>
      </c>
      <c r="E3" s="2" t="s">
        <v>35</v>
      </c>
    </row>
    <row r="4" spans="1:14" x14ac:dyDescent="0.25">
      <c r="A4" s="19" t="s">
        <v>4</v>
      </c>
      <c r="B4" s="19" t="s">
        <v>32</v>
      </c>
      <c r="C4" s="19" t="s">
        <v>3</v>
      </c>
      <c r="D4" s="19" t="s">
        <v>34</v>
      </c>
      <c r="E4" s="20" t="s">
        <v>22</v>
      </c>
      <c r="F4" s="12"/>
      <c r="G4" s="12"/>
      <c r="H4" s="12"/>
      <c r="I4" s="12"/>
      <c r="J4" s="14"/>
      <c r="K4" s="14"/>
      <c r="L4" s="14"/>
      <c r="M4" s="14"/>
      <c r="N4" s="14"/>
    </row>
    <row r="5" spans="1:14" x14ac:dyDescent="0.25">
      <c r="A5" s="4">
        <v>42735</v>
      </c>
      <c r="B5" s="4"/>
      <c r="C5" s="7">
        <v>2000000</v>
      </c>
      <c r="D5" s="7">
        <f>A5-$A$5</f>
        <v>0</v>
      </c>
      <c r="E5" s="11">
        <f>C5*($D$18-D5)/$D$18</f>
        <v>2000000</v>
      </c>
      <c r="F5" s="12"/>
      <c r="G5" s="21"/>
      <c r="H5" s="13">
        <f>C5</f>
        <v>2000000</v>
      </c>
      <c r="I5" s="12"/>
      <c r="J5" s="14"/>
      <c r="K5" s="14"/>
      <c r="L5" s="14"/>
      <c r="M5" s="14"/>
      <c r="N5" s="14"/>
    </row>
    <row r="6" spans="1:14" x14ac:dyDescent="0.25">
      <c r="A6" s="4">
        <v>42743</v>
      </c>
      <c r="B6" s="4"/>
      <c r="C6" s="7">
        <v>200000</v>
      </c>
      <c r="D6" s="7">
        <f t="shared" ref="D6:D18" si="0">A6-$A$5</f>
        <v>8</v>
      </c>
      <c r="E6" s="11">
        <f>C6*($D$18-D6)/$D$18</f>
        <v>198904.85968514715</v>
      </c>
      <c r="F6" s="12"/>
      <c r="G6" s="21"/>
      <c r="H6" s="13">
        <f t="shared" ref="H6:H17" si="1">C6</f>
        <v>200000</v>
      </c>
      <c r="I6" s="12"/>
      <c r="J6" s="14"/>
      <c r="K6" s="14"/>
      <c r="L6" s="14"/>
      <c r="M6" s="14"/>
      <c r="N6" s="14"/>
    </row>
    <row r="7" spans="1:14" x14ac:dyDescent="0.25">
      <c r="A7" s="4">
        <v>43093</v>
      </c>
      <c r="B7" s="4"/>
      <c r="C7" s="7">
        <v>-50000</v>
      </c>
      <c r="D7" s="7">
        <f t="shared" si="0"/>
        <v>358</v>
      </c>
      <c r="E7" s="11">
        <f t="shared" ref="E7:E18" si="2">C7*($D$18-D7)/$D$18</f>
        <v>-37748.117727583849</v>
      </c>
      <c r="F7" s="12"/>
      <c r="G7" s="21"/>
      <c r="H7" s="13">
        <f t="shared" si="1"/>
        <v>-50000</v>
      </c>
      <c r="I7" s="12"/>
    </row>
    <row r="8" spans="1:14" x14ac:dyDescent="0.25">
      <c r="A8" s="15">
        <v>43151</v>
      </c>
      <c r="B8" s="15"/>
      <c r="C8" s="7">
        <v>-200000</v>
      </c>
      <c r="D8" s="7">
        <f t="shared" si="0"/>
        <v>416</v>
      </c>
      <c r="E8" s="11">
        <f t="shared" si="2"/>
        <v>-143052.70362765228</v>
      </c>
      <c r="F8" s="13"/>
      <c r="G8" s="16"/>
      <c r="H8" s="13">
        <f t="shared" si="1"/>
        <v>-200000</v>
      </c>
      <c r="I8" s="12"/>
      <c r="J8" s="5"/>
      <c r="M8" s="5"/>
    </row>
    <row r="9" spans="1:14" x14ac:dyDescent="0.25">
      <c r="A9" s="4">
        <v>43165</v>
      </c>
      <c r="B9" s="4"/>
      <c r="C9" s="7">
        <v>150000</v>
      </c>
      <c r="D9" s="7">
        <f t="shared" si="0"/>
        <v>430</v>
      </c>
      <c r="E9" s="11">
        <f t="shared" si="2"/>
        <v>105852.15605749487</v>
      </c>
      <c r="F9" s="13"/>
      <c r="G9" s="16"/>
      <c r="H9" s="13">
        <f t="shared" si="1"/>
        <v>150000</v>
      </c>
      <c r="I9" s="12"/>
      <c r="J9" s="5"/>
      <c r="M9" s="5"/>
    </row>
    <row r="10" spans="1:14" x14ac:dyDescent="0.25">
      <c r="A10" s="4">
        <v>43445</v>
      </c>
      <c r="B10" s="4"/>
      <c r="C10" s="7">
        <v>-20000</v>
      </c>
      <c r="D10" s="7">
        <f t="shared" si="0"/>
        <v>710</v>
      </c>
      <c r="E10" s="11">
        <f t="shared" si="2"/>
        <v>-10280.62970568104</v>
      </c>
      <c r="F10" s="12"/>
      <c r="G10" s="16"/>
      <c r="H10" s="13">
        <f t="shared" si="1"/>
        <v>-20000</v>
      </c>
      <c r="I10" s="12"/>
      <c r="K10" s="1"/>
      <c r="N10" s="1"/>
    </row>
    <row r="11" spans="1:14" x14ac:dyDescent="0.25">
      <c r="A11" s="4">
        <v>43641</v>
      </c>
      <c r="B11" s="4"/>
      <c r="C11" s="7">
        <v>100000</v>
      </c>
      <c r="D11" s="7">
        <f t="shared" si="0"/>
        <v>906</v>
      </c>
      <c r="E11" s="11">
        <f t="shared" si="2"/>
        <v>37987.679671457903</v>
      </c>
      <c r="F11" s="12"/>
      <c r="G11" s="16"/>
      <c r="H11" s="13">
        <f t="shared" si="1"/>
        <v>100000</v>
      </c>
      <c r="I11" s="12"/>
      <c r="K11" s="1"/>
      <c r="N11" s="1"/>
    </row>
    <row r="12" spans="1:14" x14ac:dyDescent="0.25">
      <c r="A12" s="4">
        <v>43649</v>
      </c>
      <c r="B12" s="4"/>
      <c r="C12" s="7">
        <v>30000</v>
      </c>
      <c r="D12" s="7">
        <f t="shared" si="0"/>
        <v>914</v>
      </c>
      <c r="E12" s="11">
        <f t="shared" si="2"/>
        <v>11232.032854209445</v>
      </c>
      <c r="F12" s="12"/>
      <c r="G12" s="16"/>
      <c r="H12" s="13">
        <f t="shared" si="1"/>
        <v>30000</v>
      </c>
      <c r="I12" s="12"/>
      <c r="K12" s="1"/>
      <c r="N12" s="1"/>
    </row>
    <row r="13" spans="1:14" x14ac:dyDescent="0.25">
      <c r="A13" s="4">
        <v>43691</v>
      </c>
      <c r="B13" s="4"/>
      <c r="C13" s="7">
        <v>-50000</v>
      </c>
      <c r="D13" s="7">
        <f t="shared" si="0"/>
        <v>956</v>
      </c>
      <c r="E13" s="11">
        <f t="shared" si="2"/>
        <v>-17282.683093771389</v>
      </c>
      <c r="F13" s="12"/>
      <c r="G13" s="16"/>
      <c r="H13" s="13">
        <f t="shared" si="1"/>
        <v>-50000</v>
      </c>
      <c r="I13" s="12"/>
      <c r="K13" s="1"/>
      <c r="N13" s="1"/>
    </row>
    <row r="14" spans="1:14" x14ac:dyDescent="0.25">
      <c r="A14" s="4">
        <v>43911</v>
      </c>
      <c r="B14" s="4"/>
      <c r="C14" s="7">
        <v>-200000</v>
      </c>
      <c r="D14" s="7">
        <f t="shared" si="0"/>
        <v>1176</v>
      </c>
      <c r="E14" s="11">
        <f t="shared" si="2"/>
        <v>-39014.373716632443</v>
      </c>
      <c r="F14" s="12"/>
      <c r="G14" s="16"/>
      <c r="H14" s="13">
        <f t="shared" si="1"/>
        <v>-200000</v>
      </c>
      <c r="I14" s="12"/>
      <c r="K14" s="1"/>
      <c r="N14" s="1"/>
    </row>
    <row r="15" spans="1:14" x14ac:dyDescent="0.25">
      <c r="A15" s="4">
        <v>43986</v>
      </c>
      <c r="B15" s="4"/>
      <c r="C15" s="7">
        <v>80000</v>
      </c>
      <c r="D15" s="7">
        <f t="shared" si="0"/>
        <v>1251</v>
      </c>
      <c r="E15" s="11">
        <f t="shared" si="2"/>
        <v>11498.973305954825</v>
      </c>
      <c r="F15" s="12"/>
      <c r="G15" s="16"/>
      <c r="H15" s="13">
        <f t="shared" si="1"/>
        <v>80000</v>
      </c>
      <c r="I15" s="12"/>
      <c r="K15" s="1"/>
      <c r="N15" s="1"/>
    </row>
    <row r="16" spans="1:14" x14ac:dyDescent="0.25">
      <c r="A16" s="4">
        <v>44157</v>
      </c>
      <c r="B16" s="4"/>
      <c r="C16" s="7">
        <v>-50000</v>
      </c>
      <c r="D16" s="7">
        <f t="shared" si="0"/>
        <v>1422</v>
      </c>
      <c r="E16" s="11">
        <f t="shared" si="2"/>
        <v>-1334.7022587268993</v>
      </c>
      <c r="F16" s="12"/>
      <c r="G16" s="16"/>
      <c r="H16" s="13">
        <f t="shared" si="1"/>
        <v>-50000</v>
      </c>
      <c r="I16" s="12"/>
      <c r="K16" s="1"/>
      <c r="N16" s="1"/>
    </row>
    <row r="17" spans="1:14" x14ac:dyDescent="0.25">
      <c r="A17" s="4">
        <v>44168</v>
      </c>
      <c r="B17" s="4"/>
      <c r="C17" s="7">
        <v>150000</v>
      </c>
      <c r="D17" s="7">
        <f t="shared" si="0"/>
        <v>1433</v>
      </c>
      <c r="E17" s="11">
        <f t="shared" si="2"/>
        <v>2874.7433264887063</v>
      </c>
      <c r="F17" s="12"/>
      <c r="G17" s="16"/>
      <c r="H17" s="13">
        <f t="shared" si="1"/>
        <v>150000</v>
      </c>
      <c r="I17" s="12"/>
      <c r="K17" s="1"/>
      <c r="N17" s="1"/>
    </row>
    <row r="18" spans="1:14" x14ac:dyDescent="0.25">
      <c r="A18" s="4">
        <v>44196</v>
      </c>
      <c r="B18" s="3">
        <v>2300000</v>
      </c>
      <c r="C18" s="3"/>
      <c r="D18" s="7">
        <f t="shared" si="0"/>
        <v>1461</v>
      </c>
      <c r="E18" s="11">
        <f t="shared" si="2"/>
        <v>0</v>
      </c>
      <c r="F18" s="12"/>
      <c r="G18" s="16"/>
      <c r="H18" s="13">
        <f>-B18</f>
        <v>-2300000</v>
      </c>
      <c r="I18" s="12"/>
      <c r="K18" s="1"/>
      <c r="N18" s="1"/>
    </row>
    <row r="19" spans="1:14" x14ac:dyDescent="0.25">
      <c r="A19" t="s">
        <v>36</v>
      </c>
      <c r="C19" s="22">
        <f>SUM(C5:C18)</f>
        <v>2140000</v>
      </c>
      <c r="D19" s="23"/>
      <c r="E19" s="22">
        <f>SUM(E5:E18)</f>
        <v>2119637.2347707055</v>
      </c>
      <c r="F19" s="12"/>
      <c r="G19" s="12"/>
      <c r="H19" s="12"/>
      <c r="I19" s="12"/>
      <c r="J19" s="5"/>
      <c r="M19" s="5"/>
    </row>
    <row r="20" spans="1:14" x14ac:dyDescent="0.25">
      <c r="C20" s="1"/>
      <c r="J20" s="5"/>
      <c r="M20" s="5"/>
    </row>
    <row r="21" spans="1:14" ht="18" x14ac:dyDescent="0.35">
      <c r="A21" s="8" t="s">
        <v>66</v>
      </c>
      <c r="C21" s="3"/>
      <c r="K21" s="1"/>
      <c r="N21" s="1"/>
    </row>
    <row r="22" spans="1:14" x14ac:dyDescent="0.25">
      <c r="A22" t="s">
        <v>5</v>
      </c>
      <c r="B22" s="9">
        <f>B18-C19</f>
        <v>160000</v>
      </c>
      <c r="C22" s="9" t="s">
        <v>78</v>
      </c>
    </row>
    <row r="23" spans="1:14" x14ac:dyDescent="0.25">
      <c r="A23" t="s">
        <v>6</v>
      </c>
      <c r="B23" s="9">
        <f>E19</f>
        <v>2119637.2347707055</v>
      </c>
      <c r="C23" s="9" t="s">
        <v>79</v>
      </c>
    </row>
    <row r="24" spans="1:14" x14ac:dyDescent="0.25">
      <c r="A24" t="s">
        <v>37</v>
      </c>
      <c r="B24" s="10">
        <f>B22/B23</f>
        <v>7.5484614713945714E-2</v>
      </c>
      <c r="C24" s="10" t="s">
        <v>80</v>
      </c>
    </row>
    <row r="25" spans="1:14" x14ac:dyDescent="0.25">
      <c r="A25" t="s">
        <v>38</v>
      </c>
      <c r="B25" s="10">
        <f>(1+B24)^(1/4)-1</f>
        <v>1.8359338986573936E-2</v>
      </c>
      <c r="C25" s="10" t="s">
        <v>81</v>
      </c>
      <c r="H25" s="32">
        <f>XIRR(H5:H18,A5:A18)</f>
        <v>1.8339458107948313E-2</v>
      </c>
    </row>
    <row r="28" spans="1:14" x14ac:dyDescent="0.25">
      <c r="C28" s="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CC1F-7B33-412C-9C99-A706559FC99F}">
  <sheetPr codeName="Sheet5"/>
  <dimension ref="A1:G39"/>
  <sheetViews>
    <sheetView topLeftCell="A13" workbookViewId="0">
      <selection activeCell="B40" sqref="B40"/>
    </sheetView>
  </sheetViews>
  <sheetFormatPr defaultRowHeight="15" x14ac:dyDescent="0.25"/>
  <cols>
    <col min="1" max="1" width="16.42578125" customWidth="1"/>
    <col min="2" max="2" width="18" bestFit="1" customWidth="1"/>
    <col min="3" max="3" width="15.85546875" bestFit="1" customWidth="1"/>
    <col min="4" max="4" width="15.42578125" bestFit="1" customWidth="1"/>
    <col min="5" max="5" width="16.28515625" bestFit="1" customWidth="1"/>
    <col min="6" max="6" width="15.42578125" bestFit="1" customWidth="1"/>
    <col min="7" max="7" width="9.85546875" bestFit="1" customWidth="1"/>
  </cols>
  <sheetData>
    <row r="1" spans="1:7" x14ac:dyDescent="0.25">
      <c r="A1" s="8" t="s">
        <v>50</v>
      </c>
    </row>
    <row r="3" spans="1:7" x14ac:dyDescent="0.25">
      <c r="A3" s="27" t="s">
        <v>8</v>
      </c>
      <c r="B3" s="27" t="s">
        <v>12</v>
      </c>
      <c r="C3" s="27" t="s">
        <v>13</v>
      </c>
      <c r="D3" s="27" t="s">
        <v>48</v>
      </c>
      <c r="E3" s="27" t="s">
        <v>11</v>
      </c>
    </row>
    <row r="4" spans="1:7" x14ac:dyDescent="0.25">
      <c r="A4" t="s">
        <v>15</v>
      </c>
      <c r="B4" s="3">
        <v>450000</v>
      </c>
      <c r="C4" s="1">
        <f>B4/$B$7</f>
        <v>0.17077798861480076</v>
      </c>
      <c r="D4" s="1">
        <v>0.12</v>
      </c>
      <c r="E4" s="1">
        <f>C4*D4</f>
        <v>2.049335863377609E-2</v>
      </c>
    </row>
    <row r="5" spans="1:7" x14ac:dyDescent="0.25">
      <c r="A5" t="s">
        <v>16</v>
      </c>
      <c r="B5" s="3">
        <v>785000</v>
      </c>
      <c r="C5" s="1">
        <f t="shared" ref="C5:C6" si="0">B5/$B$7</f>
        <v>0.29791271347248577</v>
      </c>
      <c r="D5" s="1">
        <v>0.14000000000000001</v>
      </c>
      <c r="E5" s="1">
        <f t="shared" ref="E5:E6" si="1">C5*D5</f>
        <v>4.170777988614801E-2</v>
      </c>
    </row>
    <row r="6" spans="1:7" x14ac:dyDescent="0.25">
      <c r="A6" t="s">
        <v>17</v>
      </c>
      <c r="B6" s="3">
        <v>1400000</v>
      </c>
      <c r="C6" s="1">
        <f t="shared" si="0"/>
        <v>0.53130929791271342</v>
      </c>
      <c r="D6" s="1">
        <v>0.11</v>
      </c>
      <c r="E6" s="1">
        <f t="shared" si="1"/>
        <v>5.8444022770398479E-2</v>
      </c>
    </row>
    <row r="7" spans="1:7" x14ac:dyDescent="0.25">
      <c r="A7" t="s">
        <v>18</v>
      </c>
      <c r="B7" s="22">
        <f>SUM(B4:B6)</f>
        <v>2635000</v>
      </c>
      <c r="C7" s="26">
        <f>SUM(C4:C6)</f>
        <v>1</v>
      </c>
      <c r="E7" s="26">
        <f>SUM(E4:E6)</f>
        <v>0.12064516129032257</v>
      </c>
    </row>
    <row r="9" spans="1:7" ht="18" x14ac:dyDescent="0.35">
      <c r="A9" s="8" t="s">
        <v>60</v>
      </c>
    </row>
    <row r="10" spans="1:7" x14ac:dyDescent="0.25">
      <c r="A10" t="s">
        <v>5</v>
      </c>
      <c r="B10" s="9">
        <f>(B4*D4)+(B5*D5)+(B6*D6)</f>
        <v>317900</v>
      </c>
      <c r="C10" s="9" t="s">
        <v>82</v>
      </c>
    </row>
    <row r="11" spans="1:7" x14ac:dyDescent="0.25">
      <c r="A11" t="s">
        <v>6</v>
      </c>
      <c r="B11" s="9">
        <f>(B4+B5+B6)</f>
        <v>2635000</v>
      </c>
      <c r="C11" s="9" t="s">
        <v>83</v>
      </c>
    </row>
    <row r="12" spans="1:7" x14ac:dyDescent="0.25">
      <c r="A12" t="s">
        <v>7</v>
      </c>
      <c r="B12" s="10">
        <f>B10/B11</f>
        <v>0.12064516129032259</v>
      </c>
      <c r="C12" s="10" t="s">
        <v>84</v>
      </c>
    </row>
    <row r="14" spans="1:7" x14ac:dyDescent="0.25">
      <c r="A14" s="8" t="s">
        <v>49</v>
      </c>
    </row>
    <row r="15" spans="1:7" x14ac:dyDescent="0.25">
      <c r="A15" s="8"/>
    </row>
    <row r="16" spans="1:7" x14ac:dyDescent="0.25">
      <c r="A16" s="8"/>
      <c r="B16" s="8"/>
      <c r="C16" s="8" t="s">
        <v>35</v>
      </c>
      <c r="D16" s="8" t="s">
        <v>19</v>
      </c>
      <c r="E16" s="8" t="s">
        <v>19</v>
      </c>
      <c r="F16" s="8" t="s">
        <v>8</v>
      </c>
      <c r="G16" s="8" t="s">
        <v>35</v>
      </c>
    </row>
    <row r="17" spans="1:7" x14ac:dyDescent="0.25">
      <c r="A17" s="27" t="s">
        <v>8</v>
      </c>
      <c r="B17" s="27" t="s">
        <v>12</v>
      </c>
      <c r="C17" s="27" t="s">
        <v>9</v>
      </c>
      <c r="D17" s="27" t="s">
        <v>51</v>
      </c>
      <c r="E17" s="27" t="s">
        <v>20</v>
      </c>
      <c r="F17" s="27" t="s">
        <v>7</v>
      </c>
      <c r="G17" s="27" t="s">
        <v>7</v>
      </c>
    </row>
    <row r="18" spans="1:7" x14ac:dyDescent="0.25">
      <c r="A18" t="s">
        <v>15</v>
      </c>
      <c r="B18" s="3">
        <v>450000</v>
      </c>
      <c r="C18" s="3">
        <v>75000</v>
      </c>
      <c r="D18" s="3">
        <f>B18+C18</f>
        <v>525000</v>
      </c>
      <c r="E18" s="1">
        <f>D18/$D$21</f>
        <v>0.18953068592057762</v>
      </c>
      <c r="F18" s="1">
        <v>0.12</v>
      </c>
      <c r="G18" s="1">
        <f>E18*F18</f>
        <v>2.2743682310469315E-2</v>
      </c>
    </row>
    <row r="19" spans="1:7" x14ac:dyDescent="0.25">
      <c r="A19" t="s">
        <v>16</v>
      </c>
      <c r="B19" s="3">
        <v>785000</v>
      </c>
      <c r="C19" s="3">
        <v>120000</v>
      </c>
      <c r="D19" s="3">
        <f t="shared" ref="D19:D20" si="2">B19+C19</f>
        <v>905000</v>
      </c>
      <c r="E19" s="1">
        <f t="shared" ref="E19:E20" si="3">D19/$D$21</f>
        <v>0.3267148014440433</v>
      </c>
      <c r="F19" s="1">
        <v>0.14000000000000001</v>
      </c>
      <c r="G19" s="1">
        <f t="shared" ref="G19:G20" si="4">E19*F19</f>
        <v>4.5740072202166068E-2</v>
      </c>
    </row>
    <row r="20" spans="1:7" x14ac:dyDescent="0.25">
      <c r="A20" t="s">
        <v>17</v>
      </c>
      <c r="B20" s="3">
        <v>1400000</v>
      </c>
      <c r="C20" s="3">
        <v>-60000</v>
      </c>
      <c r="D20" s="3">
        <f t="shared" si="2"/>
        <v>1340000</v>
      </c>
      <c r="E20" s="1">
        <f t="shared" si="3"/>
        <v>0.48375451263537905</v>
      </c>
      <c r="F20" s="1">
        <v>0.11</v>
      </c>
      <c r="G20" s="1">
        <f t="shared" si="4"/>
        <v>5.3212996389891694E-2</v>
      </c>
    </row>
    <row r="21" spans="1:7" x14ac:dyDescent="0.25">
      <c r="A21" t="s">
        <v>18</v>
      </c>
      <c r="B21" s="22">
        <f>SUM(B18:B20)</f>
        <v>2635000</v>
      </c>
      <c r="C21" s="22">
        <f>SUM(C18:C20)</f>
        <v>135000</v>
      </c>
      <c r="D21" s="22">
        <f>SUM(D18:D20)</f>
        <v>2770000</v>
      </c>
      <c r="E21" s="26">
        <f>SUM(E18:E20)</f>
        <v>1</v>
      </c>
      <c r="G21" s="26">
        <f>SUM(G18:G20)</f>
        <v>0.12169675090252707</v>
      </c>
    </row>
    <row r="23" spans="1:7" ht="18" x14ac:dyDescent="0.35">
      <c r="A23" s="8" t="s">
        <v>61</v>
      </c>
    </row>
    <row r="24" spans="1:7" x14ac:dyDescent="0.25">
      <c r="A24" t="s">
        <v>5</v>
      </c>
      <c r="B24" s="9">
        <f>((B18+C18)*F18)+((B19+C19)*F19)+((B20+C20)*F20)</f>
        <v>337100</v>
      </c>
      <c r="C24" s="9" t="s">
        <v>85</v>
      </c>
    </row>
    <row r="25" spans="1:7" x14ac:dyDescent="0.25">
      <c r="A25" t="s">
        <v>6</v>
      </c>
      <c r="B25" s="9">
        <f>(B18+C18+B19+C19+B20+C20)</f>
        <v>2770000</v>
      </c>
      <c r="C25" s="9" t="s">
        <v>86</v>
      </c>
    </row>
    <row r="26" spans="1:7" x14ac:dyDescent="0.25">
      <c r="A26" t="s">
        <v>7</v>
      </c>
      <c r="B26" s="10">
        <f>B24/B25</f>
        <v>0.12169675090252707</v>
      </c>
      <c r="C26" s="10" t="s">
        <v>87</v>
      </c>
    </row>
    <row r="28" spans="1:7" x14ac:dyDescent="0.25">
      <c r="A28" s="8" t="s">
        <v>59</v>
      </c>
    </row>
    <row r="30" spans="1:7" x14ac:dyDescent="0.25">
      <c r="A30" s="27" t="s">
        <v>8</v>
      </c>
      <c r="B30" s="27" t="s">
        <v>12</v>
      </c>
      <c r="C30" s="27" t="s">
        <v>21</v>
      </c>
      <c r="D30" s="27" t="s">
        <v>9</v>
      </c>
      <c r="E30" s="27" t="s">
        <v>52</v>
      </c>
      <c r="F30" s="27" t="s">
        <v>48</v>
      </c>
    </row>
    <row r="31" spans="1:7" x14ac:dyDescent="0.25">
      <c r="A31" t="s">
        <v>15</v>
      </c>
      <c r="B31" s="3">
        <v>450000</v>
      </c>
      <c r="C31" s="3">
        <v>665000</v>
      </c>
      <c r="D31" s="3">
        <v>150000</v>
      </c>
      <c r="E31" s="28">
        <f>C18</f>
        <v>75000</v>
      </c>
      <c r="F31" s="1">
        <v>0.12</v>
      </c>
    </row>
    <row r="32" spans="1:7" x14ac:dyDescent="0.25">
      <c r="A32" t="s">
        <v>16</v>
      </c>
      <c r="B32" s="3">
        <v>785000</v>
      </c>
      <c r="C32" s="3">
        <v>1140000</v>
      </c>
      <c r="D32" s="3">
        <v>240000</v>
      </c>
      <c r="E32" s="28">
        <f t="shared" ref="E32:E33" si="5">C19</f>
        <v>120000</v>
      </c>
      <c r="F32" s="1">
        <v>0.14000000000000001</v>
      </c>
    </row>
    <row r="33" spans="1:6" x14ac:dyDescent="0.25">
      <c r="A33" t="s">
        <v>17</v>
      </c>
      <c r="B33" s="3">
        <v>1400000</v>
      </c>
      <c r="C33" s="3">
        <v>1440000</v>
      </c>
      <c r="D33" s="3">
        <v>-120000</v>
      </c>
      <c r="E33" s="28">
        <f t="shared" si="5"/>
        <v>-60000</v>
      </c>
      <c r="F33" s="1">
        <v>0.11</v>
      </c>
    </row>
    <row r="34" spans="1:6" x14ac:dyDescent="0.25">
      <c r="A34" t="s">
        <v>18</v>
      </c>
      <c r="B34" s="22">
        <f>SUM(B31:B33)</f>
        <v>2635000</v>
      </c>
      <c r="C34" s="22">
        <f>SUM(C31:C33)</f>
        <v>3245000</v>
      </c>
      <c r="D34" s="22">
        <f>SUM(D31:D33)</f>
        <v>270000</v>
      </c>
      <c r="E34" s="22">
        <f>SUM(E31:E33)</f>
        <v>135000</v>
      </c>
    </row>
    <row r="36" spans="1:6" ht="18" x14ac:dyDescent="0.35">
      <c r="A36" s="8" t="s">
        <v>62</v>
      </c>
    </row>
    <row r="37" spans="1:6" x14ac:dyDescent="0.25">
      <c r="A37" t="s">
        <v>5</v>
      </c>
      <c r="B37" s="9">
        <f>(C34-B34-D34)</f>
        <v>340000</v>
      </c>
      <c r="C37" s="9" t="s">
        <v>88</v>
      </c>
    </row>
    <row r="38" spans="1:6" x14ac:dyDescent="0.25">
      <c r="A38" t="s">
        <v>6</v>
      </c>
      <c r="B38" s="9">
        <f>(B34+E34)</f>
        <v>2770000</v>
      </c>
      <c r="C38" s="9" t="s">
        <v>89</v>
      </c>
    </row>
    <row r="39" spans="1:6" x14ac:dyDescent="0.25">
      <c r="A39" t="s">
        <v>7</v>
      </c>
      <c r="B39" s="10">
        <f>B37/B38</f>
        <v>0.12274368231046931</v>
      </c>
      <c r="C39" s="10" t="s">
        <v>90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1E9BB-696B-48A1-A2D3-B32555C9F44E}">
  <sheetPr codeName="Sheet6"/>
  <dimension ref="A2:H19"/>
  <sheetViews>
    <sheetView workbookViewId="0">
      <selection activeCell="E12" sqref="E12"/>
    </sheetView>
  </sheetViews>
  <sheetFormatPr defaultRowHeight="15" x14ac:dyDescent="0.25"/>
  <cols>
    <col min="1" max="1" width="11.85546875" bestFit="1" customWidth="1"/>
    <col min="2" max="2" width="14.5703125" bestFit="1" customWidth="1"/>
    <col min="3" max="4" width="11.28515625" bestFit="1" customWidth="1"/>
    <col min="5" max="5" width="13.7109375" bestFit="1" customWidth="1"/>
    <col min="6" max="6" width="11.28515625" bestFit="1" customWidth="1"/>
    <col min="7" max="7" width="15.7109375" bestFit="1" customWidth="1"/>
    <col min="11" max="11" width="34.7109375" bestFit="1" customWidth="1"/>
  </cols>
  <sheetData>
    <row r="2" spans="1:8" x14ac:dyDescent="0.25">
      <c r="A2" s="8"/>
      <c r="B2" s="8"/>
      <c r="C2" s="2"/>
      <c r="D2" s="2"/>
      <c r="E2" s="2" t="s">
        <v>23</v>
      </c>
      <c r="F2" s="2"/>
      <c r="G2" s="2" t="s">
        <v>23</v>
      </c>
    </row>
    <row r="3" spans="1:8" x14ac:dyDescent="0.25">
      <c r="A3" s="20" t="s">
        <v>4</v>
      </c>
      <c r="B3" s="20" t="s">
        <v>24</v>
      </c>
      <c r="C3" s="20" t="s">
        <v>54</v>
      </c>
      <c r="D3" s="20" t="s">
        <v>55</v>
      </c>
      <c r="E3" s="20" t="s">
        <v>56</v>
      </c>
      <c r="F3" s="20" t="s">
        <v>57</v>
      </c>
      <c r="G3" s="20" t="s">
        <v>58</v>
      </c>
    </row>
    <row r="4" spans="1:8" x14ac:dyDescent="0.25">
      <c r="A4" s="15">
        <v>43465</v>
      </c>
      <c r="B4" s="5" t="s">
        <v>3</v>
      </c>
      <c r="C4" s="11">
        <v>-1000000</v>
      </c>
      <c r="D4" s="12"/>
      <c r="E4" s="13">
        <f>SUM(C4:D4)</f>
        <v>-1000000</v>
      </c>
      <c r="F4" s="12"/>
      <c r="G4" s="13">
        <f>C4+D4+F4</f>
        <v>-1000000</v>
      </c>
      <c r="H4" s="12"/>
    </row>
    <row r="5" spans="1:8" x14ac:dyDescent="0.25">
      <c r="A5" s="15">
        <v>43480</v>
      </c>
      <c r="B5" s="5" t="s">
        <v>3</v>
      </c>
      <c r="C5" s="11">
        <v>-10000</v>
      </c>
      <c r="D5" s="12"/>
      <c r="E5" s="13">
        <f t="shared" ref="E5:E9" si="0">SUM(C5:D5)</f>
        <v>-10000</v>
      </c>
      <c r="F5" s="12"/>
      <c r="G5" s="13">
        <f t="shared" ref="G5:G12" si="1">C5+D5+F5</f>
        <v>-10000</v>
      </c>
      <c r="H5" s="12"/>
    </row>
    <row r="6" spans="1:8" x14ac:dyDescent="0.25">
      <c r="A6" s="15">
        <v>43830</v>
      </c>
      <c r="B6" s="5" t="s">
        <v>10</v>
      </c>
      <c r="C6" s="11">
        <v>1090000</v>
      </c>
      <c r="D6" s="12"/>
      <c r="E6" s="13"/>
      <c r="F6" s="12"/>
      <c r="G6" s="13"/>
      <c r="H6" s="12"/>
    </row>
    <row r="7" spans="1:8" x14ac:dyDescent="0.25">
      <c r="A7" s="15">
        <v>43876</v>
      </c>
      <c r="B7" s="5" t="s">
        <v>3</v>
      </c>
      <c r="C7" s="12"/>
      <c r="D7" s="11">
        <v>-5000000</v>
      </c>
      <c r="E7" s="13">
        <f t="shared" si="0"/>
        <v>-5000000</v>
      </c>
      <c r="F7" s="12"/>
      <c r="G7" s="13">
        <f t="shared" si="1"/>
        <v>-5000000</v>
      </c>
      <c r="H7" s="12"/>
    </row>
    <row r="8" spans="1:8" x14ac:dyDescent="0.25">
      <c r="A8" s="15">
        <v>44012</v>
      </c>
      <c r="B8" s="5" t="s">
        <v>3</v>
      </c>
      <c r="C8" s="12"/>
      <c r="D8" s="11">
        <v>-1000000</v>
      </c>
      <c r="E8" s="13">
        <f t="shared" si="0"/>
        <v>-1000000</v>
      </c>
      <c r="F8" s="12"/>
      <c r="G8" s="13">
        <f t="shared" si="1"/>
        <v>-1000000</v>
      </c>
      <c r="H8" s="12"/>
    </row>
    <row r="9" spans="1:8" x14ac:dyDescent="0.25">
      <c r="A9" s="15">
        <v>44196</v>
      </c>
      <c r="B9" s="5" t="s">
        <v>10</v>
      </c>
      <c r="C9" s="11">
        <v>1100000</v>
      </c>
      <c r="D9" s="11">
        <v>6500000</v>
      </c>
      <c r="E9" s="13">
        <f t="shared" si="0"/>
        <v>7600000</v>
      </c>
      <c r="F9" s="12"/>
      <c r="G9" s="13"/>
      <c r="H9" s="12"/>
    </row>
    <row r="10" spans="1:8" x14ac:dyDescent="0.25">
      <c r="A10" s="15">
        <v>44239</v>
      </c>
      <c r="B10" s="5" t="s">
        <v>3</v>
      </c>
      <c r="C10" s="12"/>
      <c r="D10" s="12"/>
      <c r="E10" s="12"/>
      <c r="F10" s="13">
        <v>-4000000</v>
      </c>
      <c r="G10" s="13">
        <f t="shared" si="1"/>
        <v>-4000000</v>
      </c>
      <c r="H10" s="12"/>
    </row>
    <row r="11" spans="1:8" x14ac:dyDescent="0.25">
      <c r="A11" s="15">
        <v>44270</v>
      </c>
      <c r="B11" s="5" t="s">
        <v>3</v>
      </c>
      <c r="C11" s="11">
        <v>500000</v>
      </c>
      <c r="D11" s="12"/>
      <c r="E11" s="12"/>
      <c r="F11" s="13"/>
      <c r="G11" s="13">
        <f t="shared" si="1"/>
        <v>500000</v>
      </c>
      <c r="H11" s="12"/>
    </row>
    <row r="12" spans="1:8" x14ac:dyDescent="0.25">
      <c r="A12" s="4">
        <v>44561</v>
      </c>
      <c r="B12" s="5" t="s">
        <v>10</v>
      </c>
      <c r="C12" s="3">
        <v>900000</v>
      </c>
      <c r="D12" s="3">
        <v>6700000</v>
      </c>
      <c r="F12" s="7">
        <v>4200000</v>
      </c>
      <c r="G12" s="7">
        <f t="shared" si="1"/>
        <v>11800000</v>
      </c>
    </row>
    <row r="16" spans="1:8" x14ac:dyDescent="0.25">
      <c r="A16" s="29" t="s">
        <v>25</v>
      </c>
      <c r="B16" s="29" t="s">
        <v>53</v>
      </c>
      <c r="C16" s="29" t="s">
        <v>14</v>
      </c>
    </row>
    <row r="17" spans="1:3" x14ac:dyDescent="0.25">
      <c r="A17">
        <v>2019</v>
      </c>
      <c r="B17" s="10">
        <f>XIRR(C4:C6,A4:A6,0.1)</f>
        <v>7.9241356253623968E-2</v>
      </c>
      <c r="C17" s="10" t="s">
        <v>26</v>
      </c>
    </row>
    <row r="18" spans="1:3" x14ac:dyDescent="0.25">
      <c r="A18">
        <v>2020</v>
      </c>
      <c r="B18" s="10">
        <f>XIRR(E4:E9,A4:A9,0.1)</f>
        <v>8.4726986289024364E-2</v>
      </c>
      <c r="C18" s="10" t="s">
        <v>27</v>
      </c>
    </row>
    <row r="19" spans="1:3" x14ac:dyDescent="0.25">
      <c r="A19">
        <v>2021</v>
      </c>
      <c r="B19" s="10">
        <f>XIRR(G4:G12,A4:A12,0.1)</f>
        <v>7.3318746685981775E-2</v>
      </c>
      <c r="C19" s="10" t="s">
        <v>28</v>
      </c>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A79330DDB39949977C72F7893FE59B" ma:contentTypeVersion="4" ma:contentTypeDescription="Create a new document." ma:contentTypeScope="" ma:versionID="7cf603f5aa7cfb0699ce4cb244a0511c">
  <xsd:schema xmlns:xsd="http://www.w3.org/2001/XMLSchema" xmlns:xs="http://www.w3.org/2001/XMLSchema" xmlns:p="http://schemas.microsoft.com/office/2006/metadata/properties" xmlns:ns3="18928e69-a32f-4899-b47e-0f4d606b2ec4" targetNamespace="http://schemas.microsoft.com/office/2006/metadata/properties" ma:root="true" ma:fieldsID="d0ec320af7b3c3023eb4c9fe67dce02d" ns3:_="">
    <xsd:import namespace="18928e69-a32f-4899-b47e-0f4d606b2ec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928e69-a32f-4899-b47e-0f4d606b2e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4941911-DAC8-482D-8EC3-20AAC3507901}">
  <ds:schemaRefs>
    <ds:schemaRef ds:uri="http://schemas.microsoft.com/sharepoint/v3/contenttype/forms"/>
  </ds:schemaRefs>
</ds:datastoreItem>
</file>

<file path=customXml/itemProps2.xml><?xml version="1.0" encoding="utf-8"?>
<ds:datastoreItem xmlns:ds="http://schemas.openxmlformats.org/officeDocument/2006/customXml" ds:itemID="{65066C2C-0E26-4173-B5B5-2CF7D9998165}">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8928e69-a32f-4899-b47e-0f4d606b2ec4"/>
    <ds:schemaRef ds:uri="http://www.w3.org/XML/1998/namespace"/>
    <ds:schemaRef ds:uri="http://purl.org/dc/dcmitype/"/>
  </ds:schemaRefs>
</ds:datastoreItem>
</file>

<file path=customXml/itemProps3.xml><?xml version="1.0" encoding="utf-8"?>
<ds:datastoreItem xmlns:ds="http://schemas.openxmlformats.org/officeDocument/2006/customXml" ds:itemID="{CB875EF7-C552-4774-A136-492A7C9BB0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928e69-a32f-4899-b47e-0f4d606b2e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PLEASE READ</vt:lpstr>
      <vt:lpstr>22.A.9</vt:lpstr>
      <vt:lpstr>22.A.21</vt:lpstr>
      <vt:lpstr>22.A.23</vt:lpstr>
      <vt:lpstr>22.A.28</vt:lpstr>
      <vt:lpstr>22.A.29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Terris</dc:creator>
  <cp:lastModifiedBy>Riško Lukáš</cp:lastModifiedBy>
  <dcterms:created xsi:type="dcterms:W3CDTF">2019-05-24T21:01:14Z</dcterms:created>
  <dcterms:modified xsi:type="dcterms:W3CDTF">2024-09-10T20:37:37Z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0x0101001DA79330DDB39949977C72F7893FE59B</vt:lpwstr>
  </property>
</Properties>
</file>